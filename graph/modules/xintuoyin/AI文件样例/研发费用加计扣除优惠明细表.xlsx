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<sst xmlns="http://schemas.openxmlformats.org/spreadsheetml/2006/main" count="110" uniqueCount="110">
  <si>
    <t/>
  </si>
  <si>
    <t>A107012    研发费用加计扣除优惠明细表</t>
  </si>
  <si>
    <t>行次</t>
  </si>
  <si>
    <t>项目</t>
  </si>
  <si>
    <t>金额（数量）</t>
  </si>
  <si>
    <t>1</t>
  </si>
  <si>
    <t>本年可享受研发费用加计扣除项目数量</t>
  </si>
  <si>
    <t>2</t>
  </si>
  <si>
    <t>一、自主研发、合作研发、集中研发（3+7+16+19+23+34）</t>
  </si>
  <si>
    <t>3</t>
  </si>
  <si>
    <t>（一）人员人工费用（4+5+6）</t>
  </si>
  <si>
    <t>4</t>
  </si>
  <si>
    <t>1.直接从事研发活动人员工资薪金</t>
  </si>
  <si>
    <t>5</t>
  </si>
  <si>
    <t>2.直接从事研发活动人员五险一金</t>
  </si>
  <si>
    <t>6</t>
  </si>
  <si>
    <t>3.外聘研发人员的劳务费用</t>
  </si>
  <si>
    <t>7</t>
  </si>
  <si>
    <t>（二）直接投入费用（8+9+10+11+12+13+14+15）</t>
  </si>
  <si>
    <t>8</t>
  </si>
  <si>
    <t>1.研发活动直接消耗材料费用</t>
  </si>
  <si>
    <t>9</t>
  </si>
  <si>
    <t>2.研发活动直接消耗燃料费用</t>
  </si>
  <si>
    <t>10</t>
  </si>
  <si>
    <t>3.研发活动直接消耗动力费用</t>
  </si>
  <si>
    <t>11</t>
  </si>
  <si>
    <t>4.用于中间试验和产品试制的模具、工艺装备开发及制造费</t>
  </si>
  <si>
    <t>12</t>
  </si>
  <si>
    <t>5.用于不构成固定资产的样品、样机及一般测试手段购置费</t>
  </si>
  <si>
    <t>13</t>
  </si>
  <si>
    <t>6.用于试制产品的检验费</t>
  </si>
  <si>
    <t>14</t>
  </si>
  <si>
    <t>7.用于研发活动的仪器、设备的运行维护、调整、检验、维修等费用</t>
  </si>
  <si>
    <t>15</t>
  </si>
  <si>
    <t>8.通过经营租赁方式租入的用于研发活动的仪器、设备租赁费</t>
  </si>
  <si>
    <t>16</t>
  </si>
  <si>
    <t>（三）折旧费用（17+18）</t>
  </si>
  <si>
    <t>17</t>
  </si>
  <si>
    <t>1.用于研发活动的仪器的折旧费</t>
  </si>
  <si>
    <t>18</t>
  </si>
  <si>
    <t>2.用于研发活动的设备的折旧费</t>
  </si>
  <si>
    <t>-</t>
  </si>
  <si>
    <t>19</t>
  </si>
  <si>
    <t>（四）无形资产摊销（20+21+22）</t>
  </si>
  <si>
    <t>20</t>
  </si>
  <si>
    <t>1.用于研发活动的软件的摊销费用</t>
  </si>
  <si>
    <t>21</t>
  </si>
  <si>
    <t>2.用于研发活动的专利权的摊销费用</t>
  </si>
  <si>
    <t>22</t>
  </si>
  <si>
    <t>3.用于研发活动的非专利技术（包括许可证、专有技术、设计和计算方法
等）的摊销费用</t>
  </si>
  <si>
    <t>23</t>
  </si>
  <si>
    <t>（五）新产品设计费等（24+25+26+27）</t>
  </si>
  <si>
    <t>24</t>
  </si>
  <si>
    <t>1.新产品设计费</t>
  </si>
  <si>
    <t>25</t>
  </si>
  <si>
    <t>2.新工艺规程制定费</t>
  </si>
  <si>
    <t>26</t>
  </si>
  <si>
    <t>3.新药研制的临床试验费</t>
  </si>
  <si>
    <t>27</t>
  </si>
  <si>
    <t>4.勘探开发技术的现场试验费</t>
  </si>
  <si>
    <t>28</t>
  </si>
  <si>
    <t>（六）其他相关费用(29+30+31+32+33)</t>
  </si>
  <si>
    <t>29</t>
  </si>
  <si>
    <t>1.技术图书资料费、资料翻译费、专家咨询费、高新科技研发保险费</t>
  </si>
  <si>
    <t>30</t>
  </si>
  <si>
    <t>2.研发成果的检索、分析、评议、论证、鉴定、评审、评估、验收费用</t>
  </si>
  <si>
    <t>31</t>
  </si>
  <si>
    <t>3.知识产权的申请费、注册费、代理费</t>
  </si>
  <si>
    <t>32</t>
  </si>
  <si>
    <t>4.职工福利费、补充养老保险费、补充医疗保险费</t>
  </si>
  <si>
    <t>33</t>
  </si>
  <si>
    <t>5.差旅费、会议费</t>
  </si>
  <si>
    <t>34</t>
  </si>
  <si>
    <t>（七）经限额调整后的其他相关费用</t>
  </si>
  <si>
    <t>35</t>
  </si>
  <si>
    <t>二、委托研发 (36+37+39)</t>
  </si>
  <si>
    <t>36</t>
  </si>
  <si>
    <t>（一）委托境内机构或个人进行研发活动所发生的费用</t>
  </si>
  <si>
    <t>37</t>
  </si>
  <si>
    <t>（二）委托境外机构进行研发活动发生的费用</t>
  </si>
  <si>
    <t>38</t>
  </si>
  <si>
    <t>其中：允许加计扣除的委托境外机构进行研发活动发生的费用</t>
  </si>
  <si>
    <t>39</t>
  </si>
  <si>
    <t>（三）委托境外个人进行研发活动发生的费用</t>
  </si>
  <si>
    <t>40</t>
  </si>
  <si>
    <t>三、年度研发费用小计(2+36×80%+38)</t>
  </si>
  <si>
    <t>41</t>
  </si>
  <si>
    <t>（一）本年费用化金额</t>
  </si>
  <si>
    <t>42</t>
  </si>
  <si>
    <t>（二）本年资本化金额</t>
  </si>
  <si>
    <t>43</t>
  </si>
  <si>
    <t>四、本年形成无形资产摊销额</t>
  </si>
  <si>
    <t>44</t>
  </si>
  <si>
    <t>五、以前年度形成无形资产本年摊销额</t>
  </si>
  <si>
    <t>45</t>
  </si>
  <si>
    <t>六、允许扣除的研发费用合计（41+43+44）</t>
  </si>
  <si>
    <t>46</t>
  </si>
  <si>
    <t>减：特殊收入部分</t>
  </si>
  <si>
    <t>47</t>
  </si>
  <si>
    <t>七、允许扣除的研发费用抵减特殊收入后的金额(45-46)</t>
  </si>
  <si>
    <t>48</t>
  </si>
  <si>
    <t>减：当年销售研发活动直接形成产品（包括组成部分）对应的材料部分</t>
  </si>
  <si>
    <t>49</t>
  </si>
  <si>
    <t>减：以前年度销售研发活动直接形成产品（包括组成部分）对应材料部分结转金额</t>
  </si>
  <si>
    <t>50</t>
  </si>
  <si>
    <t>八、加计扣除比例（%）</t>
  </si>
  <si>
    <t>51</t>
  </si>
  <si>
    <t>九、本年研发费用加计扣除总额（47-48-49）×50</t>
  </si>
  <si>
    <t>52</t>
  </si>
  <si>
    <t>十、销售研发活动直接形成产品（包括组成部分）对应材料部分结转以后年度扣减金额（当47-48-49≥0，本行＝0；当47-48-49＜0，本行＝47-48-49的绝对值)</t>
  </si>
</sst>
</file>

<file path=xl/styles.xml><?xml version="1.0" encoding="utf-8"?>
<styleSheet xmlns="http://schemas.openxmlformats.org/spreadsheetml/2006/main">
  <numFmts count="1">
    <numFmt numFmtId="300" formatCode="0.00_);[Red](0.00)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color rgb="FF0D0D0D"/>
      <sz val="16"/>
    </font>
    <font>
      <name val="宋体"/>
      <color rgb="FF0D0D0D"/>
    </font>
    <font>
      <name val="宋体"/>
    </font>
    <font>
      <name val="宋体"/>
      <color rgb="FF0D0D0D"/>
      <sz val="10"/>
    </font>
    <font>
      <name val="宋体"/>
      <b val="true"/>
    </font>
    <font>
      <name val="宋体"/>
      <sz val="10"/>
    </font>
  </fonts>
  <fills count="5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FF9C99"/>
        <bgColor auto="tru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0" borderId="1" xfId="0">
      <alignment horizontal="left" vertical="center" textRotation="0" wrapText="true" indent="0" justifyLastLine="false" shrinkToFit="false"/>
    </xf>
    <xf fontId="0" fillId="0" borderId="1" xfId="0">
      <alignment vertical="center"/>
    </xf>
    <xf numFmtId="49" fontId="4" fillId="0" borderId="1" xfId="0">
      <alignment horizontal="center" vertical="center" textRotation="0" wrapText="true" indent="0" justifyLastLine="false" shrinkToFit="false"/>
    </xf>
    <xf numFmtId="49" fontId="4" fillId="0" borderId="1" xfId="0">
      <alignment horizontal="left" vertical="center" textRotation="0" wrapText="true" indent="0" justifyLastLine="false" shrinkToFit="false"/>
    </xf>
    <xf numFmtId="43" fontId="5" fillId="0" borderId="1" xfId="0">
      <alignment horizontal="left" vertical="center" textRotation="0" wrapText="true" indent="0" justifyLastLine="false" shrinkToFit="false"/>
    </xf>
    <xf numFmtId="300" fontId="5" fillId="2" borderId="2" xfId="0">
      <alignment horizontal="left" vertical="center" wrapText="true"/>
    </xf>
    <xf numFmtId="49" fontId="4" fillId="0" borderId="3" xfId="0">
      <alignment horizontal="left" vertical="center" textRotation="0" wrapText="true" indent="0" justifyLastLine="false" shrinkToFit="false"/>
    </xf>
    <xf numFmtId="43" fontId="5" fillId="2" borderId="1" xfId="0">
      <alignment horizontal="left" vertical="center" textRotation="0" wrapText="true" indent="0" justifyLastLine="false" shrinkToFit="false"/>
    </xf>
    <xf numFmtId="43" fontId="5" fillId="3" borderId="4" xfId="0">
      <alignment horizontal="left" vertical="center" textRotation="0" wrapText="true" indent="0" justifyLastLine="false" shrinkToFit="false"/>
    </xf>
    <xf numFmtId="43" fontId="5" fillId="2" borderId="1" xfId="0">
      <alignment horizontal="left" vertical="center" wrapText="true"/>
    </xf>
    <xf numFmtId="43" fontId="5" fillId="3" borderId="1" xfId="0">
      <alignment horizontal="left" vertical="center" textRotation="0" wrapText="true" indent="0" justifyLastLine="false" shrinkToFit="false"/>
    </xf>
    <xf numFmtId="49" fontId="4" fillId="0" borderId="1" xfId="0">
      <alignment horizontal="center" vertical="center" wrapText="true"/>
    </xf>
    <xf numFmtId="49" fontId="6" fillId="0" borderId="1" xfId="0">
      <alignment horizontal="left" vertical="center" textRotation="0" wrapText="true" indent="0" justifyLastLine="false" shrinkToFit="false"/>
    </xf>
    <xf numFmtId="43" fontId="5" fillId="4" borderId="1" xfId="0">
      <alignment horizontal="left" vertical="center" textRotation="0" wrapText="true" indent="0" justifyLastLine="false" shrinkToFit="false"/>
    </xf>
    <xf numFmtId="43" fontId="5" fillId="3" borderId="1" xfId="0">
      <alignment horizontal="left" vertical="center" wrapText="true"/>
    </xf>
    <xf numFmtId="43" fontId="5" fillId="2" borderId="2" xfId="0">
      <alignment horizontal="left" vertical="center" wrapText="true"/>
    </xf>
    <xf numFmtId="49" fontId="4" fillId="0" borderId="2" xfId="0">
      <alignment horizontal="left" vertical="center" textRotation="0" wrapText="true" indent="0" justifyLastLine="false" shrinkToFit="false"/>
    </xf>
    <xf numFmtId="10" fontId="7" fillId="2" borderId="4" xfId="0">
      <alignment horizontal="right" vertical="center" textRotation="0" wrapText="true" indent="0" justifyLastLine="false" shrinkToFit="false"/>
    </xf>
    <xf numFmtId="43" fontId="5" fillId="2" borderId="1" xfId="0">
      <alignment horizontal="left" vertical="center" textRotation="0" indent="0" justifyLastLine="false" shrinkToFit="false"/>
    </xf>
    <xf numFmtId="43" fontId="8" fillId="2" borderId="1" xfId="0">
      <alignment horizontal="left"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C55"/>
  <sheetViews>
    <sheetView showGridLines="true" workbookViewId="0"/>
  </sheetViews>
  <sheetData>
    <row r="1" spans="1:3">
      <c r="A1" s="4" t="s">
        <v>1</v>
      </c>
      <c r="B1" s="5" t="s"/>
      <c r="C1" s="5" t="s"/>
    </row>
    <row r="2" spans="1:3">
      <c r="A2" s="6" t="s">
        <v>2</v>
      </c>
      <c r="B2" s="7" t="s">
        <v>3</v>
      </c>
      <c r="C2" s="8" t="s">
        <v>4</v>
      </c>
    </row>
    <row r="3" spans="1:3">
      <c r="A3" s="6" t="s">
        <v>5</v>
      </c>
      <c r="B3" s="7" t="s">
        <v>6</v>
      </c>
      <c r="C3" s="9" t="s"/>
    </row>
    <row r="4" spans="1:3">
      <c r="A4" s="6" t="s">
        <v>7</v>
      </c>
      <c r="B4" s="10" t="s">
        <v>8</v>
      </c>
      <c r="C4" s="11">
        <f>=C5+C9+C18+C22+C26+C37</f>
        <v>55.5555555555556</v>
      </c>
    </row>
    <row r="5" spans="1:3">
      <c r="A5" s="6" t="s">
        <v>9</v>
      </c>
      <c r="B5" s="7" t="s">
        <v>10</v>
      </c>
      <c r="C5" s="12">
        <v>10</v>
      </c>
    </row>
    <row r="6" spans="1:3">
      <c r="A6" s="6" t="s">
        <v>11</v>
      </c>
      <c r="B6" s="7" t="s">
        <v>12</v>
      </c>
      <c r="C6" s="13" t="s"/>
    </row>
    <row r="7" spans="1:3">
      <c r="A7" s="6" t="s">
        <v>13</v>
      </c>
      <c r="B7" s="7" t="s">
        <v>14</v>
      </c>
      <c r="C7" s="13" t="s"/>
    </row>
    <row r="8" spans="1:3">
      <c r="A8" s="6" t="s">
        <v>15</v>
      </c>
      <c r="B8" s="7" t="s">
        <v>16</v>
      </c>
      <c r="C8" s="13" t="s"/>
    </row>
    <row r="9" spans="1:3">
      <c r="A9" s="6" t="s">
        <v>17</v>
      </c>
      <c r="B9" s="7" t="s">
        <v>18</v>
      </c>
      <c r="C9" s="14">
        <v>10</v>
      </c>
    </row>
    <row r="10" spans="1:3">
      <c r="A10" s="6" t="s">
        <v>19</v>
      </c>
      <c r="B10" s="7" t="s">
        <v>20</v>
      </c>
      <c r="C10" s="13" t="s"/>
    </row>
    <row r="11" spans="1:3">
      <c r="A11" s="6" t="s">
        <v>21</v>
      </c>
      <c r="B11" s="7" t="s">
        <v>22</v>
      </c>
      <c r="C11" s="13" t="s"/>
    </row>
    <row r="12" spans="1:3">
      <c r="A12" s="6" t="s">
        <v>23</v>
      </c>
      <c r="B12" s="7" t="s">
        <v>24</v>
      </c>
      <c r="C12" s="13" t="s"/>
    </row>
    <row r="13" spans="1:3">
      <c r="A13" s="6" t="s">
        <v>25</v>
      </c>
      <c r="B13" s="7" t="s">
        <v>26</v>
      </c>
      <c r="C13" s="13" t="s"/>
    </row>
    <row r="14" spans="1:3">
      <c r="A14" s="6" t="s">
        <v>27</v>
      </c>
      <c r="B14" s="7" t="s">
        <v>28</v>
      </c>
      <c r="C14" s="13" t="s"/>
    </row>
    <row r="15" spans="1:3">
      <c r="A15" s="6" t="s">
        <v>29</v>
      </c>
      <c r="B15" s="7" t="s">
        <v>30</v>
      </c>
      <c r="C15" s="13" t="s"/>
    </row>
    <row r="16" spans="1:3">
      <c r="A16" s="6" t="s">
        <v>31</v>
      </c>
      <c r="B16" s="7" t="s">
        <v>32</v>
      </c>
      <c r="C16" s="13" t="s"/>
    </row>
    <row r="17" spans="1:3">
      <c r="A17" s="6" t="s">
        <v>33</v>
      </c>
      <c r="B17" s="7" t="s">
        <v>34</v>
      </c>
      <c r="C17" s="13" t="s"/>
    </row>
    <row r="18" spans="1:3">
      <c r="A18" s="6" t="s">
        <v>35</v>
      </c>
      <c r="B18" s="7" t="s">
        <v>36</v>
      </c>
      <c r="C18" s="14">
        <v>10</v>
      </c>
    </row>
    <row r="19" spans="1:3">
      <c r="A19" s="6" t="s">
        <v>37</v>
      </c>
      <c r="B19" s="7" t="s">
        <v>38</v>
      </c>
      <c r="C19" s="13" t="s"/>
    </row>
    <row r="20" spans="1:3">
      <c r="A20" s="6" t="s">
        <v>39</v>
      </c>
      <c r="B20" s="7" t="s">
        <v>40</v>
      </c>
      <c r="C20" s="13" t="s"/>
    </row>
    <row r="21" spans="1:3">
      <c r="A21" s="15" t="s"/>
      <c r="B21" s="7" t="s">
        <v>41</v>
      </c>
      <c r="C21" s="8" t="s">
        <v>41</v>
      </c>
    </row>
    <row r="22" spans="1:3">
      <c r="A22" s="6" t="s">
        <v>42</v>
      </c>
      <c r="B22" s="7" t="s">
        <v>43</v>
      </c>
      <c r="C22" s="14">
        <v>10</v>
      </c>
    </row>
    <row r="23" spans="1:3">
      <c r="A23" s="6" t="s">
        <v>44</v>
      </c>
      <c r="B23" s="7" t="s">
        <v>45</v>
      </c>
      <c r="C23" s="13" t="s"/>
    </row>
    <row r="24" spans="1:3">
      <c r="A24" s="6" t="s">
        <v>46</v>
      </c>
      <c r="B24" s="7" t="s">
        <v>47</v>
      </c>
      <c r="C24" s="13" t="s"/>
    </row>
    <row r="25" spans="1:3">
      <c r="A25" s="6" t="s">
        <v>48</v>
      </c>
      <c r="B25" s="16" t="s">
        <v>49</v>
      </c>
      <c r="C25" s="13" t="s"/>
    </row>
    <row r="26" spans="1:3">
      <c r="A26" s="6" t="s">
        <v>50</v>
      </c>
      <c r="B26" s="7" t="s">
        <v>51</v>
      </c>
      <c r="C26" s="14">
        <v>10</v>
      </c>
    </row>
    <row r="27" spans="1:3">
      <c r="A27" s="6" t="s">
        <v>52</v>
      </c>
      <c r="B27" s="7" t="s">
        <v>53</v>
      </c>
      <c r="C27" s="13" t="s"/>
    </row>
    <row r="28" spans="1:3">
      <c r="A28" s="6" t="s">
        <v>54</v>
      </c>
      <c r="B28" s="7" t="s">
        <v>55</v>
      </c>
      <c r="C28" s="13" t="s"/>
    </row>
    <row r="29" spans="1:3">
      <c r="A29" s="6" t="s">
        <v>56</v>
      </c>
      <c r="B29" s="7" t="s">
        <v>57</v>
      </c>
      <c r="C29" s="13" t="s"/>
    </row>
    <row r="30" spans="1:3">
      <c r="A30" s="6" t="s">
        <v>58</v>
      </c>
      <c r="B30" s="7" t="s">
        <v>59</v>
      </c>
      <c r="C30" s="13" t="s"/>
    </row>
    <row r="31" spans="1:3">
      <c r="A31" s="6" t="s">
        <v>60</v>
      </c>
      <c r="B31" s="7" t="s">
        <v>61</v>
      </c>
      <c r="C31" s="14">
        <v>50</v>
      </c>
    </row>
    <row r="32" spans="1:3">
      <c r="A32" s="6" t="s">
        <v>62</v>
      </c>
      <c r="B32" s="7" t="s">
        <v>63</v>
      </c>
      <c r="C32" s="13" t="s"/>
    </row>
    <row r="33" spans="1:3">
      <c r="A33" s="6" t="s">
        <v>64</v>
      </c>
      <c r="B33" s="7" t="s">
        <v>65</v>
      </c>
      <c r="C33" s="13" t="s"/>
    </row>
    <row r="34" spans="1:3">
      <c r="A34" s="6" t="s">
        <v>66</v>
      </c>
      <c r="B34" s="7" t="s">
        <v>67</v>
      </c>
      <c r="C34" s="13" t="s"/>
    </row>
    <row r="35" spans="1:3">
      <c r="A35" s="6" t="s">
        <v>68</v>
      </c>
      <c r="B35" s="7" t="s">
        <v>69</v>
      </c>
      <c r="C35" s="13" t="s"/>
    </row>
    <row r="36" spans="1:3">
      <c r="A36" s="6" t="s">
        <v>70</v>
      </c>
      <c r="B36" s="7" t="s">
        <v>71</v>
      </c>
      <c r="C36" s="13" t="s"/>
    </row>
    <row r="37" spans="1:3">
      <c r="A37" s="6" t="s">
        <v>72</v>
      </c>
      <c r="B37" s="7" t="s">
        <v>73</v>
      </c>
      <c r="C37" s="17">
        <f>=MIN((C5+C9+C18+C22+C26)*0.1/0.9,C31)</f>
        <v>5.55555555555556</v>
      </c>
    </row>
    <row r="38" spans="1:3">
      <c r="A38" s="6" t="s">
        <v>74</v>
      </c>
      <c r="B38" s="7" t="s">
        <v>75</v>
      </c>
      <c r="C38" s="18" t="s"/>
    </row>
    <row r="39" spans="1:3">
      <c r="A39" s="6" t="s">
        <v>76</v>
      </c>
      <c r="B39" s="7" t="s">
        <v>77</v>
      </c>
      <c r="C39" s="11">
        <v>10</v>
      </c>
    </row>
    <row r="40" spans="1:3">
      <c r="A40" s="6" t="s">
        <v>78</v>
      </c>
      <c r="B40" s="7" t="s">
        <v>79</v>
      </c>
      <c r="C40" s="11">
        <v>10</v>
      </c>
    </row>
    <row r="41" spans="1:3">
      <c r="A41" s="6" t="s">
        <v>80</v>
      </c>
      <c r="B41" s="7" t="s">
        <v>81</v>
      </c>
      <c r="C41" s="17">
        <f>=MIN((C4+C39*0.8)*2/3,C40*0.8)</f>
        <v>8</v>
      </c>
    </row>
    <row r="42" spans="1:3">
      <c r="A42" s="6" t="s">
        <v>82</v>
      </c>
      <c r="B42" s="7" t="s">
        <v>83</v>
      </c>
      <c r="C42" s="13" t="s"/>
    </row>
    <row r="43" spans="1:3">
      <c r="A43" s="6" t="s">
        <v>84</v>
      </c>
      <c r="B43" s="7" t="s">
        <v>85</v>
      </c>
      <c r="C43" s="11">
        <f>=C4+C39*0.8+C41</f>
        <v>71.5555555555556</v>
      </c>
    </row>
    <row r="44" spans="1:3">
      <c r="A44" s="6" t="s">
        <v>86</v>
      </c>
      <c r="B44" s="7" t="s">
        <v>87</v>
      </c>
      <c r="C44" s="11">
        <v>71.56</v>
      </c>
    </row>
    <row r="45" spans="1:3">
      <c r="A45" s="6" t="s">
        <v>88</v>
      </c>
      <c r="B45" s="7" t="s">
        <v>89</v>
      </c>
      <c r="C45" s="13" t="s"/>
    </row>
    <row r="46" spans="1:3">
      <c r="A46" s="6" t="s">
        <v>90</v>
      </c>
      <c r="B46" s="7" t="s">
        <v>91</v>
      </c>
      <c r="C46" s="13" t="s"/>
    </row>
    <row r="47" spans="1:3">
      <c r="A47" s="6" t="s">
        <v>92</v>
      </c>
      <c r="B47" s="7" t="s">
        <v>93</v>
      </c>
      <c r="C47" s="13" t="s"/>
    </row>
    <row r="48" spans="1:3">
      <c r="A48" s="6" t="s">
        <v>94</v>
      </c>
      <c r="B48" s="7" t="s">
        <v>95</v>
      </c>
      <c r="C48" s="14">
        <f>=C44+C46+C47</f>
        <v>71.56</v>
      </c>
    </row>
    <row r="49" spans="1:3">
      <c r="A49" s="6" t="s">
        <v>96</v>
      </c>
      <c r="B49" s="7" t="s">
        <v>97</v>
      </c>
      <c r="C49" s="13" t="s"/>
    </row>
    <row r="50" spans="1:3">
      <c r="A50" s="6" t="s">
        <v>98</v>
      </c>
      <c r="B50" s="7" t="s">
        <v>99</v>
      </c>
      <c r="C50" s="11">
        <f>=C48-C49</f>
        <v>71.56</v>
      </c>
    </row>
    <row r="51" spans="1:3">
      <c r="A51" s="6" t="s">
        <v>100</v>
      </c>
      <c r="B51" s="7" t="s">
        <v>101</v>
      </c>
      <c r="C51" s="19" t="s"/>
    </row>
    <row r="52" spans="1:3">
      <c r="A52" s="6" t="s">
        <v>102</v>
      </c>
      <c r="B52" s="10" t="s">
        <v>103</v>
      </c>
      <c r="C52" s="13" t="s"/>
    </row>
    <row r="53" spans="1:3">
      <c r="A53" s="6" t="s">
        <v>104</v>
      </c>
      <c r="B53" s="20" t="s">
        <v>105</v>
      </c>
      <c r="C53" s="21">
        <v>1</v>
      </c>
    </row>
    <row r="54" spans="1:3">
      <c r="A54" s="6" t="s">
        <v>106</v>
      </c>
      <c r="B54" s="7" t="s">
        <v>107</v>
      </c>
      <c r="C54" s="22">
        <f>=(C50-C51-C52)*C53</f>
        <v>71.56</v>
      </c>
    </row>
    <row r="55" spans="1:3">
      <c r="A55" s="6" t="s">
        <v>108</v>
      </c>
      <c r="B55" s="7" t="s">
        <v>109</v>
      </c>
      <c r="C55" s="23">
        <f>=IF(C50-C51-C52&gt;=0,0,ABS(C50-C51-C52))</f>
        <v>0</v>
      </c>
    </row>
  </sheetData>
  <mergeCells count="1">
    <mergeCell ref="A1:C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2025-11-04T17:51:32Z</dcterms:created>
  <dcterms:modified xsi:type="dcterms:W3CDTF">2025-11-04T17:51:32Z</dcterms:modified>
</cp:coreProperties>
</file>